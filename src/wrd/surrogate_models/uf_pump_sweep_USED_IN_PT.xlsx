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churchi\flex_desal\"/>
    </mc:Choice>
  </mc:AlternateContent>
  <xr:revisionPtr revIDLastSave="0" documentId="13_ncr:9_{058335BA-C736-44FF-9669-4AF3AA2133D8}" xr6:coauthVersionLast="47" xr6:coauthVersionMax="47" xr10:uidLastSave="{00000000-0000-0000-0000-000000000000}"/>
  <bookViews>
    <workbookView xWindow="-103" yWindow="-103" windowWidth="33120" windowHeight="18000" xr2:uid="{882F6575-544A-46C7-A4D1-5F1DD13057F4}"/>
  </bookViews>
  <sheets>
    <sheet name="up_pump_sweep" sheetId="1" r:id="rId1"/>
  </sheets>
  <calcPr calcId="0"/>
</workbook>
</file>

<file path=xl/calcChain.xml><?xml version="1.0" encoding="utf-8"?>
<calcChain xmlns="http://schemas.openxmlformats.org/spreadsheetml/2006/main">
  <c r="D16" i="1" l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<sst xmlns="http://schemas.openxmlformats.org/spreadsheetml/2006/main" count="4" uniqueCount="4">
  <si>
    <t># Feed Flow</t>
  </si>
  <si>
    <t>Stage1 Power</t>
  </si>
  <si>
    <t>Flow (m3/hr)</t>
  </si>
  <si>
    <t>SEC (kWh/m3)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</si>
</sst>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SEC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-5.2884496713133236E-2"/>
                  <c:y val="0.18251825241609404"/>
                </c:manualLayout>
              </c:layout>
              <c:numFmt formatCode="0.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up_pump_sweep!$B$2:$B$16</c:f>
              <c:numCache>
                <c:formatCode>0.00E+00</c:formatCode>
                <c:ptCount val="15"/>
                <c:pt idx="0">
                  <c:v>344.00001600000002</c:v>
                </c:pt>
                <c:pt idx="1">
                  <c:v>390.07151999999996</c:v>
                </c:pt>
                <c:pt idx="2">
                  <c:v>436.14287999999999</c:v>
                </c:pt>
                <c:pt idx="3">
                  <c:v>482.21423999999996</c:v>
                </c:pt>
                <c:pt idx="4">
                  <c:v>528.28559999999993</c:v>
                </c:pt>
                <c:pt idx="5">
                  <c:v>574.35732000000007</c:v>
                </c:pt>
                <c:pt idx="6">
                  <c:v>620.42867999999999</c:v>
                </c:pt>
                <c:pt idx="7">
                  <c:v>666.50004000000001</c:v>
                </c:pt>
                <c:pt idx="8">
                  <c:v>712.57139999999993</c:v>
                </c:pt>
                <c:pt idx="9">
                  <c:v>758.64276000000007</c:v>
                </c:pt>
                <c:pt idx="10">
                  <c:v>804.71411999999998</c:v>
                </c:pt>
                <c:pt idx="11">
                  <c:v>850.78584000000001</c:v>
                </c:pt>
                <c:pt idx="12">
                  <c:v>896.85719999999992</c:v>
                </c:pt>
                <c:pt idx="13">
                  <c:v>942.92856000000006</c:v>
                </c:pt>
                <c:pt idx="14">
                  <c:v>988.99992000000009</c:v>
                </c:pt>
              </c:numCache>
            </c:numRef>
          </c:xVal>
          <c:yVal>
            <c:numRef>
              <c:f>up_pump_sweep!$D$2:$D$16</c:f>
              <c:numCache>
                <c:formatCode>0.00E+00</c:formatCode>
                <c:ptCount val="15"/>
                <c:pt idx="0">
                  <c:v>0.18948917723306152</c:v>
                </c:pt>
                <c:pt idx="1">
                  <c:v>0.17759094537329975</c:v>
                </c:pt>
                <c:pt idx="2">
                  <c:v>0.16911098032828142</c:v>
                </c:pt>
                <c:pt idx="3">
                  <c:v>0.16320399414169104</c:v>
                </c:pt>
                <c:pt idx="4">
                  <c:v>0.15929218967921899</c:v>
                </c:pt>
                <c:pt idx="5">
                  <c:v>0.15696122755082148</c:v>
                </c:pt>
                <c:pt idx="6">
                  <c:v>0.15590215784350911</c:v>
                </c:pt>
                <c:pt idx="7">
                  <c:v>0.15587620969985236</c:v>
                </c:pt>
                <c:pt idx="8">
                  <c:v>0.15669391165573024</c:v>
                </c:pt>
                <c:pt idx="9">
                  <c:v>0.15820212928678049</c:v>
                </c:pt>
                <c:pt idx="10">
                  <c:v>0.16027480666053184</c:v>
                </c:pt>
                <c:pt idx="11">
                  <c:v>0.16280689391821562</c:v>
                </c:pt>
                <c:pt idx="12">
                  <c:v>0.16571077313088417</c:v>
                </c:pt>
                <c:pt idx="13">
                  <c:v>0.16891216021710062</c:v>
                </c:pt>
                <c:pt idx="14">
                  <c:v>0.17234804225262221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A1-4D4B-8CCA-A33D1A6E21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2339160"/>
        <c:axId val="587340024"/>
      </c:scatterChart>
      <c:valAx>
        <c:axId val="322339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340024"/>
        <c:crosses val="autoZero"/>
        <c:crossBetween val="midCat"/>
      </c:valAx>
      <c:valAx>
        <c:axId val="587340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339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323849</xdr:colOff>
      <xdr:row>2</xdr:row>
      <xdr:rowOff>10883</xdr:rowOff>
    </xdr:from>
    <xdr:to>
      <xdr:col>16</xdr:col>
      <xdr:colOff>157843</xdr:colOff>
      <xdr:row>21</xdr:row>
      <xdr:rowOff>48984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6CFDF9-1A0C-E1DC-85CA-086BBFCA76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85596-059C-41F6-B0F7-FA7759967D3C}">
  <dimension ref="A1:D16"/>
  <sheetViews>
    <sheetView tabSelected="1" workbookViewId="0">
      <selection activeCell="S10" sqref="S10"/>
    </sheetView>
  </sheetViews>
  <sheetFormatPr defaultRowHeight="14.6" x14ac:dyDescent="0.4"/>
  <cols>
    <col min="1" max="2" width="12.84375" customWidth="1"/>
    <col min="3" max="3" width="13.765625" customWidth="1"/>
    <col min="4" max="4" width="12.15234375" customWidth="1"/>
  </cols>
  <sheetData>
    <row r="1" spans="1:4" x14ac:dyDescent="0.4">
      <c r="A1" t="s">
        <v>0</v>
      </c>
      <c r="B1" t="s">
        <v>2</v>
      </c>
      <c r="C1" t="s">
        <v>1</v>
      </c>
      <c r="D1" t="s">
        <v>3</v>
      </c>
    </row>
    <row r="2" spans="1:4" x14ac:dyDescent="0.4">
      <c r="A2" s="1">
        <v>9.5555559999999998E-2</v>
      </c>
      <c r="B2" s="1">
        <f>A2*3600</f>
        <v>344.00001600000002</v>
      </c>
      <c r="C2" s="1">
        <v>65184.28</v>
      </c>
      <c r="D2" s="1">
        <f>C2/1000/B2</f>
        <v>0.18948917723306152</v>
      </c>
    </row>
    <row r="3" spans="1:4" x14ac:dyDescent="0.4">
      <c r="A3" s="1">
        <v>0.1083532</v>
      </c>
      <c r="B3" s="1">
        <f t="shared" ref="B3:B16" si="0">A3*3600</f>
        <v>390.07151999999996</v>
      </c>
      <c r="C3" s="1">
        <v>69273.17</v>
      </c>
      <c r="D3" s="1">
        <f t="shared" ref="D3:D16" si="1">C3/1000/B3</f>
        <v>0.17759094537329975</v>
      </c>
    </row>
    <row r="4" spans="1:4" x14ac:dyDescent="0.4">
      <c r="A4" s="1">
        <v>0.1211508</v>
      </c>
      <c r="B4" s="1">
        <f t="shared" si="0"/>
        <v>436.14287999999999</v>
      </c>
      <c r="C4" s="1">
        <v>73756.55</v>
      </c>
      <c r="D4" s="1">
        <f t="shared" si="1"/>
        <v>0.16911098032828142</v>
      </c>
    </row>
    <row r="5" spans="1:4" x14ac:dyDescent="0.4">
      <c r="A5" s="1">
        <v>0.1339484</v>
      </c>
      <c r="B5" s="1">
        <f t="shared" si="0"/>
        <v>482.21423999999996</v>
      </c>
      <c r="C5" s="1">
        <v>78699.289999999994</v>
      </c>
      <c r="D5" s="1">
        <f t="shared" si="1"/>
        <v>0.16320399414169104</v>
      </c>
    </row>
    <row r="6" spans="1:4" x14ac:dyDescent="0.4">
      <c r="A6" s="1">
        <v>0.14674599999999999</v>
      </c>
      <c r="B6" s="1">
        <f t="shared" si="0"/>
        <v>528.28559999999993</v>
      </c>
      <c r="C6" s="1">
        <v>84151.77</v>
      </c>
      <c r="D6" s="1">
        <f t="shared" si="1"/>
        <v>0.15929218967921899</v>
      </c>
    </row>
    <row r="7" spans="1:4" x14ac:dyDescent="0.4">
      <c r="A7" s="1">
        <v>0.15954370000000001</v>
      </c>
      <c r="B7" s="1">
        <f t="shared" si="0"/>
        <v>574.35732000000007</v>
      </c>
      <c r="C7" s="1">
        <v>90151.83</v>
      </c>
      <c r="D7" s="1">
        <f t="shared" si="1"/>
        <v>0.15696122755082148</v>
      </c>
    </row>
    <row r="8" spans="1:4" x14ac:dyDescent="0.4">
      <c r="A8" s="1">
        <v>0.1723413</v>
      </c>
      <c r="B8" s="1">
        <f t="shared" si="0"/>
        <v>620.42867999999999</v>
      </c>
      <c r="C8" s="1">
        <v>96726.17</v>
      </c>
      <c r="D8" s="1">
        <f t="shared" si="1"/>
        <v>0.15590215784350911</v>
      </c>
    </row>
    <row r="9" spans="1:4" x14ac:dyDescent="0.4">
      <c r="A9" s="1">
        <v>0.1851389</v>
      </c>
      <c r="B9" s="1">
        <f t="shared" si="0"/>
        <v>666.50004000000001</v>
      </c>
      <c r="C9" s="1">
        <v>103891.5</v>
      </c>
      <c r="D9" s="1">
        <f t="shared" si="1"/>
        <v>0.15587620969985236</v>
      </c>
    </row>
    <row r="10" spans="1:4" x14ac:dyDescent="0.4">
      <c r="A10" s="1">
        <v>0.19793649999999999</v>
      </c>
      <c r="B10" s="1">
        <f t="shared" si="0"/>
        <v>712.57139999999993</v>
      </c>
      <c r="C10" s="1">
        <v>111655.6</v>
      </c>
      <c r="D10" s="1">
        <f t="shared" si="1"/>
        <v>0.15669391165573024</v>
      </c>
    </row>
    <row r="11" spans="1:4" x14ac:dyDescent="0.4">
      <c r="A11" s="1">
        <v>0.21073410000000001</v>
      </c>
      <c r="B11" s="1">
        <f t="shared" si="0"/>
        <v>758.64276000000007</v>
      </c>
      <c r="C11" s="1">
        <v>120018.9</v>
      </c>
      <c r="D11" s="1">
        <f t="shared" si="1"/>
        <v>0.15820212928678049</v>
      </c>
    </row>
    <row r="12" spans="1:4" x14ac:dyDescent="0.4">
      <c r="A12" s="1">
        <v>0.2235317</v>
      </c>
      <c r="B12" s="1">
        <f t="shared" si="0"/>
        <v>804.71411999999998</v>
      </c>
      <c r="C12" s="1">
        <v>128975.4</v>
      </c>
      <c r="D12" s="1">
        <f t="shared" si="1"/>
        <v>0.16027480666053184</v>
      </c>
    </row>
    <row r="13" spans="1:4" x14ac:dyDescent="0.4">
      <c r="A13" s="1">
        <v>0.2363294</v>
      </c>
      <c r="B13" s="1">
        <f t="shared" si="0"/>
        <v>850.78584000000001</v>
      </c>
      <c r="C13" s="1">
        <v>138513.79999999999</v>
      </c>
      <c r="D13" s="1">
        <f t="shared" si="1"/>
        <v>0.16280689391821562</v>
      </c>
    </row>
    <row r="14" spans="1:4" x14ac:dyDescent="0.4">
      <c r="A14" s="1">
        <v>0.24912699999999999</v>
      </c>
      <c r="B14" s="1">
        <f t="shared" si="0"/>
        <v>896.85719999999992</v>
      </c>
      <c r="C14" s="1">
        <v>148618.9</v>
      </c>
      <c r="D14" s="1">
        <f t="shared" si="1"/>
        <v>0.16571077313088417</v>
      </c>
    </row>
    <row r="15" spans="1:4" x14ac:dyDescent="0.4">
      <c r="A15" s="1">
        <v>0.26192460000000001</v>
      </c>
      <c r="B15" s="1">
        <f t="shared" si="0"/>
        <v>942.92856000000006</v>
      </c>
      <c r="C15" s="1">
        <v>159272.1</v>
      </c>
      <c r="D15" s="1">
        <f t="shared" si="1"/>
        <v>0.16891216021710062</v>
      </c>
    </row>
    <row r="16" spans="1:4" x14ac:dyDescent="0.4">
      <c r="A16" s="1">
        <v>0.27472220000000003</v>
      </c>
      <c r="B16" s="1">
        <f t="shared" si="0"/>
        <v>988.99992000000009</v>
      </c>
      <c r="C16" s="1">
        <v>170452.2</v>
      </c>
      <c r="D16" s="1">
        <f t="shared" si="1"/>
        <v>0.17234804225262221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up_pump_sweep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Churchill, Jake</dc:creator>
  <cp:lastModifiedBy>Churchill, Jake</cp:lastModifiedBy>
  <dcterms:created xsi:type="dcterms:W3CDTF">2026-05-08T23:07:31Z</dcterms:created>
  <dcterms:modified xsi:type="dcterms:W3CDTF">2026-05-08T23:07:45Z</dcterms:modified>
</cp:coreProperties>
</file>